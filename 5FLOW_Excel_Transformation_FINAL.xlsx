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peerislandsio-my.sharepoint.com/personal/retheesh_kumar_peerislands_io/Documents/Documents/5Flow/Transformation Plan/"/>
    </mc:Choice>
  </mc:AlternateContent>
  <xr:revisionPtr revIDLastSave="162" documentId="13_ncr:1_{8CB12383-8864-46F1-B167-4EE7C8C80B3E}" xr6:coauthVersionLast="47" xr6:coauthVersionMax="47" xr10:uidLastSave="{B3B16AAA-FCDD-9B42-A955-8645B062F21E}"/>
  <bookViews>
    <workbookView xWindow="0" yWindow="680" windowWidth="34200" windowHeight="19940" xr2:uid="{00000000-000D-0000-FFFF-FFFF00000000}"/>
  </bookViews>
  <sheets>
    <sheet name="01_Transformation_Plan" sheetId="1" r:id="rId1"/>
    <sheet name="02_Dependency_Tracker" sheetId="2" r:id="rId2"/>
    <sheet name="03_Action_Tracker" sheetId="3" r:id="rId3"/>
    <sheet name="06_KT_Master" sheetId="4" r:id="rId4"/>
    <sheet name="08_SteerCo_Dashboard" sheetId="5" r:id="rId5"/>
    <sheet name="09_Pivot_Summary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B9" i="6"/>
  <c r="D5" i="6"/>
  <c r="C5" i="6"/>
  <c r="B5" i="6"/>
  <c r="D4" i="6"/>
  <c r="C4" i="6"/>
  <c r="B4" i="6"/>
  <c r="D3" i="6"/>
  <c r="C3" i="6"/>
  <c r="B3" i="6"/>
  <c r="B5" i="5"/>
  <c r="B4" i="5"/>
  <c r="B3" i="5"/>
  <c r="B2" i="5"/>
  <c r="E5" i="6" l="1"/>
  <c r="E4" i="6"/>
  <c r="E3" i="6"/>
</calcChain>
</file>

<file path=xl/sharedStrings.xml><?xml version="1.0" encoding="utf-8"?>
<sst xmlns="http://schemas.openxmlformats.org/spreadsheetml/2006/main" count="369" uniqueCount="140">
  <si>
    <t>Workstream</t>
  </si>
  <si>
    <t>Objective / Outcome</t>
  </si>
  <si>
    <t>Owner</t>
  </si>
  <si>
    <t>Start Date</t>
  </si>
  <si>
    <t>End Date</t>
  </si>
  <si>
    <t>Status</t>
  </si>
  <si>
    <t>RAG</t>
  </si>
  <si>
    <t>Success Metrics</t>
  </si>
  <si>
    <t>Dependencies</t>
  </si>
  <si>
    <t>Risks</t>
  </si>
  <si>
    <t>Governance</t>
  </si>
  <si>
    <t>Vijai</t>
  </si>
  <si>
    <t>Amber</t>
  </si>
  <si>
    <t>Tooling</t>
  </si>
  <si>
    <t>5Flow AI Studio</t>
  </si>
  <si>
    <t>Sriram</t>
  </si>
  <si>
    <t>Green</t>
  </si>
  <si>
    <t>Ways of Working</t>
  </si>
  <si>
    <t>Mathangi</t>
  </si>
  <si>
    <t>Red</t>
  </si>
  <si>
    <t>Dependency ID</t>
  </si>
  <si>
    <t>Impacted Workstream</t>
  </si>
  <si>
    <t>Description</t>
  </si>
  <si>
    <t>Type</t>
  </si>
  <si>
    <t>Dependent On</t>
  </si>
  <si>
    <t>Target Date</t>
  </si>
  <si>
    <t>Risk</t>
  </si>
  <si>
    <t>Mitigation</t>
  </si>
  <si>
    <t>Escalation</t>
  </si>
  <si>
    <t>D-01</t>
  </si>
  <si>
    <t>Action ID</t>
  </si>
  <si>
    <t>Action Description</t>
  </si>
  <si>
    <t>Source</t>
  </si>
  <si>
    <t>Priority</t>
  </si>
  <si>
    <t>Due Date</t>
  </si>
  <si>
    <t>Closure Criteria</t>
  </si>
  <si>
    <t>Notes</t>
  </si>
  <si>
    <t>A-01</t>
  </si>
  <si>
    <t>Product / Platform</t>
  </si>
  <si>
    <t>KT Scope</t>
  </si>
  <si>
    <t>KT Owner</t>
  </si>
  <si>
    <t>SME</t>
  </si>
  <si>
    <t>Receiving Team</t>
  </si>
  <si>
    <t>Current Stage</t>
  </si>
  <si>
    <t>Overall Status</t>
  </si>
  <si>
    <t>Metric</t>
  </si>
  <si>
    <t>Value</t>
  </si>
  <si>
    <t>Total Initiatives</t>
  </si>
  <si>
    <t>RAG by Workstream</t>
  </si>
  <si>
    <t>Total</t>
  </si>
  <si>
    <t>KT Progress</t>
  </si>
  <si>
    <t>Total KT Waves</t>
  </si>
  <si>
    <t>KT Waves In Progress</t>
  </si>
  <si>
    <t>KT Waves Completed</t>
  </si>
  <si>
    <t xml:space="preserve"> Initiative</t>
  </si>
  <si>
    <t>Contracts and Financial</t>
  </si>
  <si>
    <t>New Ways of Working</t>
  </si>
  <si>
    <t>TMO</t>
  </si>
  <si>
    <t>Wave</t>
  </si>
  <si>
    <t>MediaBox</t>
  </si>
  <si>
    <t>DragonFly</t>
  </si>
  <si>
    <t>Resource</t>
  </si>
  <si>
    <t>Reporting</t>
  </si>
  <si>
    <t>SOW</t>
  </si>
  <si>
    <t>Deployment</t>
  </si>
  <si>
    <t>Enablement</t>
  </si>
  <si>
    <t>Onboarding</t>
  </si>
  <si>
    <t>KT</t>
  </si>
  <si>
    <t>Board and Executive updates - every 2 weeks (Updates shared on email)</t>
  </si>
  <si>
    <t>Block calendars for interim and final reviews</t>
  </si>
  <si>
    <t>Engaging Legal Core Team</t>
  </si>
  <si>
    <t>Create legal / compliance checklist</t>
  </si>
  <si>
    <t>Legal review of people plan</t>
  </si>
  <si>
    <t>Heads up to Legal on SOW review starting from March 16</t>
  </si>
  <si>
    <t>Draft Contract, SoW</t>
  </si>
  <si>
    <t>Refine financial structure - Pricing and terms</t>
  </si>
  <si>
    <t>Review Contract / SOW</t>
  </si>
  <si>
    <t>Finalize Pricing and Financials</t>
  </si>
  <si>
    <t>Submit SOW for Legal review</t>
  </si>
  <si>
    <t>Legal review of SOW (Including Iterations)</t>
  </si>
  <si>
    <t>Final SOW</t>
  </si>
  <si>
    <t>Pre-requisites - Readiness</t>
  </si>
  <si>
    <t>Introduction Session to Pilot users</t>
  </si>
  <si>
    <t>Studio Rollout for Pilot users (Code Insight and Spec agents)</t>
  </si>
  <si>
    <t>Support and Clarification session</t>
  </si>
  <si>
    <t>Workshop on Pilot Usecases</t>
  </si>
  <si>
    <t>Pilot Period</t>
  </si>
  <si>
    <t>Pilot feedback</t>
  </si>
  <si>
    <t>Introduction Session to Users</t>
  </si>
  <si>
    <t>Phase 1 Rollout (Beyond pilot users)</t>
  </si>
  <si>
    <t>Release of Product, Ask AI and UI Copilot agents</t>
  </si>
  <si>
    <t>Release of ADR, Coder</t>
  </si>
  <si>
    <t>Release of Testing and OPS related agent</t>
  </si>
  <si>
    <t>Release of Agent Development environment and Orchestration</t>
  </si>
  <si>
    <t>Training and Certification on Spec Driven Development and New ways</t>
  </si>
  <si>
    <t>Identify core team members, key Product Leadership and set up TMO</t>
  </si>
  <si>
    <t>Onboard key people into the TMO - 5Flow (Product Leadership, Support Leaders etc)</t>
  </si>
  <si>
    <t>Onboard key people into the TMO - Peer (Program Manager, Current Leads, Support Leaders)</t>
  </si>
  <si>
    <t>Target Operating Model - Refined and Updated</t>
  </si>
  <si>
    <t>Set-up governance model - communication, tracking, risk management</t>
  </si>
  <si>
    <t>Transformation Pillar (Right Shoring) : Review, Socialize with Key Members - incorporate valid inputs</t>
  </si>
  <si>
    <t>Transformation Pillar (Role Redundancy) : Review, Socialize - incorporate valid inputs</t>
  </si>
  <si>
    <t>Build the first 30, 60, 90 day post signing execution plan</t>
  </si>
  <si>
    <t>Execution</t>
  </si>
  <si>
    <t>Propelis business overview (Video)</t>
  </si>
  <si>
    <t>PHP Boot Camp</t>
  </si>
  <si>
    <t>Peer AI - New Ways of Working - Hands on Sessions</t>
  </si>
  <si>
    <t>HubX Functional and Technical Overview</t>
  </si>
  <si>
    <t>Code Insights for Wave 2</t>
  </si>
  <si>
    <t>Code Insights for Wave 3</t>
  </si>
  <si>
    <t>Peer AI Studio / 5Flow Studio Setup &amp; Proficiency</t>
  </si>
  <si>
    <t>Wave 2- Product Demo</t>
  </si>
  <si>
    <t>Wave 3 - Product Demo</t>
  </si>
  <si>
    <t>Wave Client Configurations</t>
  </si>
  <si>
    <t>Wave - SDLC Process (Sprint Management, Review Steps)</t>
  </si>
  <si>
    <t>Wave - Solution Consultant - Process</t>
  </si>
  <si>
    <t>Wave - Support Model - KT</t>
  </si>
  <si>
    <t>R&amp;R for the Team</t>
  </si>
  <si>
    <t>Identifying resources, allocation on Runn</t>
  </si>
  <si>
    <t>Propelis Onboarding</t>
  </si>
  <si>
    <t>Code Base Access / Setup</t>
  </si>
  <si>
    <t>Cloud Access / Devops</t>
  </si>
  <si>
    <t>Peer</t>
  </si>
  <si>
    <t>5FLow</t>
  </si>
  <si>
    <t>5Flow</t>
  </si>
  <si>
    <t>Kishore</t>
  </si>
  <si>
    <t>Jagan</t>
  </si>
  <si>
    <t>Rajesh</t>
  </si>
  <si>
    <t>Subbiah</t>
  </si>
  <si>
    <t>Satish</t>
  </si>
  <si>
    <t>Muthu / Anish</t>
  </si>
  <si>
    <t>Satish/Murugesan</t>
  </si>
  <si>
    <t>Murugesan</t>
  </si>
  <si>
    <t>Satish/Retheesh</t>
  </si>
  <si>
    <t>Completed</t>
  </si>
  <si>
    <t>TBC</t>
  </si>
  <si>
    <t>Media Box</t>
  </si>
  <si>
    <t>Info Gethering</t>
  </si>
  <si>
    <t>Operating Model</t>
  </si>
  <si>
    <t>Setup the operting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</si>
</sst>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" fontId="0" fillId="0" borderId="1" xfId="0" applyNumberFormat="1" applyBorder="1"/>
    <xf numFmtId="0" fontId="1" fillId="2" borderId="1" xfId="0" applyFont="1" applyFill="1" applyBorder="1"/>
    <xf numFmtId="16" fontId="1" fillId="2" borderId="1" xfId="0" applyNumberFormat="1" applyFont="1" applyFill="1" applyBorder="1"/>
    <xf numFmtId="16" fontId="0" fillId="2" borderId="1" xfId="0" applyNumberFormat="1" applyFill="1" applyBorder="1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/>
  </sheetViews>
  <sheetFormatPr baseColWidth="10" defaultColWidth="8.83203125" defaultRowHeight="15" x14ac:dyDescent="0.2"/>
  <cols>
    <col min="1" max="1" width="19" bestFit="1" customWidth="1"/>
    <col min="2" max="2" width="14.1640625" bestFit="1" customWidth="1"/>
    <col min="3" max="3" width="78" bestFit="1" customWidth="1"/>
    <col min="4" max="4" width="10.6640625" customWidth="1"/>
    <col min="5" max="6" width="15.1640625" customWidth="1"/>
    <col min="7" max="7" width="15.6640625" customWidth="1"/>
    <col min="8" max="8" width="17.5" customWidth="1"/>
    <col min="9" max="9" width="18" customWidth="1"/>
    <col min="11" max="11" width="14.1640625" bestFit="1" customWidth="1"/>
    <col min="12" max="12" width="16.6640625" customWidth="1"/>
    <col min="13" max="13" width="11.6640625" customWidth="1"/>
  </cols>
  <sheetData>
    <row r="1" spans="1:15" x14ac:dyDescent="0.2">
      <c r="A1" s="4" t="s">
        <v>0</v>
      </c>
      <c r="B1" s="4" t="s">
        <v>54</v>
      </c>
      <c r="C1" s="4" t="s">
        <v>1</v>
      </c>
      <c r="D1" s="4" t="s">
        <v>2</v>
      </c>
      <c r="E1" s="4" t="s">
        <v>124</v>
      </c>
      <c r="F1" s="4" t="s">
        <v>122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>
        <v>46119</v>
      </c>
      <c r="O1" s="6">
        <v>46120</v>
      </c>
    </row>
    <row r="2" spans="1:15" x14ac:dyDescent="0.2">
      <c r="A2" s="2" t="s">
        <v>10</v>
      </c>
      <c r="B2" s="2" t="s">
        <v>62</v>
      </c>
      <c r="C2" s="2" t="s">
        <v>68</v>
      </c>
      <c r="D2" s="2" t="s">
        <v>122</v>
      </c>
      <c r="E2" s="2"/>
      <c r="F2" s="2" t="s">
        <v>126</v>
      </c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10</v>
      </c>
      <c r="B3" s="2" t="s">
        <v>137</v>
      </c>
      <c r="C3" s="2" t="s">
        <v>69</v>
      </c>
      <c r="D3" s="2" t="s">
        <v>123</v>
      </c>
      <c r="E3" s="2"/>
      <c r="F3" s="2" t="s">
        <v>126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10</v>
      </c>
      <c r="B4" s="2" t="s">
        <v>138</v>
      </c>
      <c r="C4" s="2" t="s">
        <v>139</v>
      </c>
      <c r="D4" s="2" t="s">
        <v>124</v>
      </c>
      <c r="E4" s="2"/>
      <c r="F4" s="2" t="s">
        <v>126</v>
      </c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 t="s">
        <v>55</v>
      </c>
      <c r="B5" s="2" t="s">
        <v>63</v>
      </c>
      <c r="C5" s="2" t="s">
        <v>70</v>
      </c>
      <c r="D5" s="2" t="s">
        <v>123</v>
      </c>
      <c r="E5" s="2"/>
      <c r="F5" s="2" t="s">
        <v>15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 t="s">
        <v>55</v>
      </c>
      <c r="B6" s="2" t="s">
        <v>63</v>
      </c>
      <c r="C6" s="2" t="s">
        <v>71</v>
      </c>
      <c r="D6" s="2" t="s">
        <v>123</v>
      </c>
      <c r="E6" s="2"/>
      <c r="F6" s="2" t="s">
        <v>126</v>
      </c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 t="s">
        <v>55</v>
      </c>
      <c r="B7" s="2" t="s">
        <v>63</v>
      </c>
      <c r="C7" s="2" t="s">
        <v>72</v>
      </c>
      <c r="D7" s="2" t="s">
        <v>123</v>
      </c>
      <c r="E7" s="2" t="s">
        <v>11</v>
      </c>
      <c r="F7" s="2" t="s">
        <v>126</v>
      </c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 t="s">
        <v>55</v>
      </c>
      <c r="B8" s="2" t="s">
        <v>63</v>
      </c>
      <c r="C8" s="2" t="s">
        <v>73</v>
      </c>
      <c r="D8" s="2" t="s">
        <v>124</v>
      </c>
      <c r="E8" s="2" t="s">
        <v>11</v>
      </c>
      <c r="F8" s="2" t="s">
        <v>126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 t="s">
        <v>55</v>
      </c>
      <c r="B9" s="2" t="s">
        <v>63</v>
      </c>
      <c r="C9" s="2" t="s">
        <v>74</v>
      </c>
      <c r="D9" s="2" t="s">
        <v>122</v>
      </c>
      <c r="E9" s="2" t="s">
        <v>11</v>
      </c>
      <c r="F9" s="2" t="s">
        <v>126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 t="s">
        <v>55</v>
      </c>
      <c r="B10" s="2" t="s">
        <v>63</v>
      </c>
      <c r="C10" s="2" t="s">
        <v>75</v>
      </c>
      <c r="D10" s="2" t="s">
        <v>122</v>
      </c>
      <c r="E10" s="2" t="s">
        <v>11</v>
      </c>
      <c r="F10" s="2" t="s">
        <v>126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 t="s">
        <v>55</v>
      </c>
      <c r="B11" s="2" t="s">
        <v>63</v>
      </c>
      <c r="C11" s="2" t="s">
        <v>76</v>
      </c>
      <c r="D11" s="2" t="s">
        <v>124</v>
      </c>
      <c r="E11" s="2"/>
      <c r="F11" s="2" t="s">
        <v>126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 t="s">
        <v>55</v>
      </c>
      <c r="B12" s="2" t="s">
        <v>63</v>
      </c>
      <c r="C12" s="2" t="s">
        <v>77</v>
      </c>
      <c r="D12" s="2" t="s">
        <v>122</v>
      </c>
      <c r="E12" s="2" t="s">
        <v>15</v>
      </c>
      <c r="F12" s="2" t="s">
        <v>127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 t="s">
        <v>55</v>
      </c>
      <c r="B13" s="2" t="s">
        <v>63</v>
      </c>
      <c r="C13" s="2" t="s">
        <v>78</v>
      </c>
      <c r="D13" s="2" t="s">
        <v>122</v>
      </c>
      <c r="E13" s="2" t="s">
        <v>11</v>
      </c>
      <c r="F13" s="2" t="s">
        <v>126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 t="s">
        <v>55</v>
      </c>
      <c r="B14" s="2" t="s">
        <v>63</v>
      </c>
      <c r="C14" s="2" t="s">
        <v>79</v>
      </c>
      <c r="D14" s="2" t="s">
        <v>124</v>
      </c>
      <c r="E14" s="2"/>
      <c r="F14" s="2" t="s">
        <v>126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 t="s">
        <v>55</v>
      </c>
      <c r="B15" s="2" t="s">
        <v>63</v>
      </c>
      <c r="C15" s="2" t="s">
        <v>80</v>
      </c>
      <c r="D15" s="2" t="s">
        <v>122</v>
      </c>
      <c r="E15" s="2" t="s">
        <v>11</v>
      </c>
      <c r="F15" s="2" t="s">
        <v>126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 t="s">
        <v>14</v>
      </c>
      <c r="B16" s="2" t="s">
        <v>64</v>
      </c>
      <c r="C16" s="2" t="s">
        <v>81</v>
      </c>
      <c r="D16" s="2" t="s">
        <v>122</v>
      </c>
      <c r="E16" s="2" t="s">
        <v>125</v>
      </c>
      <c r="F16" s="2" t="s">
        <v>15</v>
      </c>
      <c r="G16" s="3">
        <v>46104</v>
      </c>
      <c r="H16" s="3">
        <v>46108</v>
      </c>
      <c r="I16" s="2" t="s">
        <v>134</v>
      </c>
      <c r="J16" s="2" t="s">
        <v>19</v>
      </c>
      <c r="K16" s="2"/>
      <c r="L16" s="2"/>
      <c r="M16" s="2"/>
      <c r="N16" s="2"/>
      <c r="O16" s="2"/>
    </row>
    <row r="17" spans="1:15" x14ac:dyDescent="0.2">
      <c r="A17" s="2" t="s">
        <v>14</v>
      </c>
      <c r="B17" s="2" t="s">
        <v>64</v>
      </c>
      <c r="C17" s="2" t="s">
        <v>82</v>
      </c>
      <c r="D17" s="2" t="s">
        <v>122</v>
      </c>
      <c r="E17" s="2"/>
      <c r="F17" s="2" t="s">
        <v>128</v>
      </c>
      <c r="G17" s="3">
        <v>46111</v>
      </c>
      <c r="H17" s="3">
        <v>46111</v>
      </c>
      <c r="I17" s="2" t="s">
        <v>134</v>
      </c>
      <c r="J17" s="2" t="s">
        <v>16</v>
      </c>
      <c r="K17" s="2"/>
      <c r="L17" s="2"/>
      <c r="M17" s="2"/>
      <c r="N17" s="2"/>
      <c r="O17" s="2"/>
    </row>
    <row r="18" spans="1:15" x14ac:dyDescent="0.2">
      <c r="A18" s="2" t="s">
        <v>14</v>
      </c>
      <c r="B18" s="2" t="s">
        <v>64</v>
      </c>
      <c r="C18" s="2" t="s">
        <v>83</v>
      </c>
      <c r="D18" s="2" t="s">
        <v>122</v>
      </c>
      <c r="E18" s="2"/>
      <c r="F18" s="2" t="s">
        <v>15</v>
      </c>
      <c r="G18" s="3">
        <v>46113</v>
      </c>
      <c r="H18" s="3">
        <v>46118</v>
      </c>
      <c r="I18" s="2"/>
      <c r="J18" s="2"/>
      <c r="K18" s="2"/>
      <c r="L18" s="2"/>
      <c r="M18" s="2"/>
      <c r="N18" s="2"/>
      <c r="O18" s="2"/>
    </row>
    <row r="19" spans="1:15" x14ac:dyDescent="0.2">
      <c r="A19" s="2" t="s">
        <v>14</v>
      </c>
      <c r="B19" s="2" t="s">
        <v>64</v>
      </c>
      <c r="C19" s="2" t="s">
        <v>84</v>
      </c>
      <c r="D19" s="2" t="s">
        <v>122</v>
      </c>
      <c r="E19" s="2"/>
      <c r="F19" s="2" t="s">
        <v>128</v>
      </c>
      <c r="G19" s="3">
        <v>46118</v>
      </c>
      <c r="H19" s="3">
        <v>46122</v>
      </c>
      <c r="I19" s="2"/>
      <c r="J19" s="2"/>
      <c r="K19" s="2"/>
      <c r="L19" s="2"/>
      <c r="M19" s="2"/>
      <c r="N19" s="2"/>
      <c r="O19" s="2"/>
    </row>
    <row r="20" spans="1:15" x14ac:dyDescent="0.2">
      <c r="A20" s="2" t="s">
        <v>14</v>
      </c>
      <c r="B20" s="2" t="s">
        <v>64</v>
      </c>
      <c r="C20" s="2" t="s">
        <v>85</v>
      </c>
      <c r="D20" s="2" t="s">
        <v>122</v>
      </c>
      <c r="E20" s="2"/>
      <c r="F20" s="2" t="s">
        <v>15</v>
      </c>
      <c r="G20" s="3">
        <v>46118</v>
      </c>
      <c r="H20" s="3">
        <v>46122</v>
      </c>
      <c r="I20" s="2"/>
      <c r="J20" s="2"/>
      <c r="K20" s="2"/>
      <c r="L20" s="2"/>
      <c r="M20" s="2"/>
      <c r="N20" s="2"/>
      <c r="O20" s="2"/>
    </row>
    <row r="21" spans="1:15" x14ac:dyDescent="0.2">
      <c r="A21" s="2" t="s">
        <v>14</v>
      </c>
      <c r="B21" s="2" t="s">
        <v>64</v>
      </c>
      <c r="C21" s="2" t="s">
        <v>86</v>
      </c>
      <c r="D21" s="2" t="s">
        <v>122</v>
      </c>
      <c r="E21" s="2"/>
      <c r="F21" s="2" t="s">
        <v>128</v>
      </c>
      <c r="G21" s="3">
        <v>46113</v>
      </c>
      <c r="H21" s="3">
        <v>46136</v>
      </c>
      <c r="I21" s="2"/>
      <c r="J21" s="2"/>
      <c r="K21" s="2"/>
      <c r="L21" s="2"/>
      <c r="M21" s="2"/>
      <c r="N21" s="2"/>
      <c r="O21" s="2"/>
    </row>
    <row r="22" spans="1:15" x14ac:dyDescent="0.2">
      <c r="A22" s="2" t="s">
        <v>14</v>
      </c>
      <c r="B22" s="2" t="s">
        <v>64</v>
      </c>
      <c r="C22" s="2" t="s">
        <v>87</v>
      </c>
      <c r="D22" s="2" t="s">
        <v>122</v>
      </c>
      <c r="E22" s="2"/>
      <c r="F22" s="2" t="s">
        <v>15</v>
      </c>
      <c r="G22" s="3">
        <v>46125</v>
      </c>
      <c r="H22" s="3">
        <v>46129</v>
      </c>
      <c r="I22" s="2"/>
      <c r="J22" s="2"/>
      <c r="K22" s="2"/>
      <c r="L22" s="2"/>
      <c r="M22" s="2"/>
      <c r="N22" s="2"/>
      <c r="O22" s="2"/>
    </row>
    <row r="23" spans="1:15" x14ac:dyDescent="0.2">
      <c r="A23" s="2" t="s">
        <v>14</v>
      </c>
      <c r="B23" s="2" t="s">
        <v>64</v>
      </c>
      <c r="C23" s="2" t="s">
        <v>88</v>
      </c>
      <c r="D23" s="2" t="s">
        <v>122</v>
      </c>
      <c r="E23" s="2"/>
      <c r="F23" s="2" t="s">
        <v>128</v>
      </c>
      <c r="G23" s="3">
        <v>46136</v>
      </c>
      <c r="H23" s="3">
        <v>46136</v>
      </c>
      <c r="I23" s="2"/>
      <c r="J23" s="2"/>
      <c r="K23" s="2"/>
      <c r="L23" s="2"/>
      <c r="M23" s="2"/>
      <c r="N23" s="2"/>
      <c r="O23" s="2"/>
    </row>
    <row r="24" spans="1:15" x14ac:dyDescent="0.2">
      <c r="A24" s="2" t="s">
        <v>14</v>
      </c>
      <c r="B24" s="2" t="s">
        <v>64</v>
      </c>
      <c r="C24" s="2" t="s">
        <v>89</v>
      </c>
      <c r="D24" s="2" t="s">
        <v>122</v>
      </c>
      <c r="E24" s="2"/>
      <c r="F24" s="2" t="s">
        <v>15</v>
      </c>
      <c r="G24" s="3">
        <v>46139</v>
      </c>
      <c r="H24" s="3">
        <v>46139</v>
      </c>
      <c r="I24" s="2"/>
      <c r="J24" s="2"/>
      <c r="K24" s="2"/>
      <c r="L24" s="2"/>
      <c r="M24" s="2"/>
      <c r="N24" s="2"/>
      <c r="O24" s="2"/>
    </row>
    <row r="25" spans="1:15" x14ac:dyDescent="0.2">
      <c r="A25" s="2" t="s">
        <v>14</v>
      </c>
      <c r="B25" s="2" t="s">
        <v>64</v>
      </c>
      <c r="C25" s="2" t="s">
        <v>90</v>
      </c>
      <c r="D25" s="2" t="s">
        <v>122</v>
      </c>
      <c r="E25" s="2"/>
      <c r="F25" s="2" t="s">
        <v>128</v>
      </c>
      <c r="G25" s="3">
        <v>46153</v>
      </c>
      <c r="H25" s="3">
        <v>46153</v>
      </c>
      <c r="I25" s="2"/>
      <c r="J25" s="2"/>
      <c r="K25" s="2"/>
      <c r="L25" s="2"/>
      <c r="M25" s="2"/>
      <c r="N25" s="2"/>
      <c r="O25" s="2"/>
    </row>
    <row r="26" spans="1:15" x14ac:dyDescent="0.2">
      <c r="A26" s="2" t="s">
        <v>14</v>
      </c>
      <c r="B26" s="2" t="s">
        <v>64</v>
      </c>
      <c r="C26" s="2" t="s">
        <v>91</v>
      </c>
      <c r="D26" s="2" t="s">
        <v>122</v>
      </c>
      <c r="E26" s="2"/>
      <c r="F26" s="2" t="s">
        <v>128</v>
      </c>
      <c r="G26" s="3">
        <v>46181</v>
      </c>
      <c r="H26" s="3">
        <v>46181</v>
      </c>
      <c r="I26" s="2"/>
      <c r="J26" s="2"/>
      <c r="K26" s="2"/>
      <c r="L26" s="2"/>
      <c r="M26" s="2"/>
      <c r="N26" s="2"/>
      <c r="O26" s="2"/>
    </row>
    <row r="27" spans="1:15" x14ac:dyDescent="0.2">
      <c r="A27" s="2" t="s">
        <v>14</v>
      </c>
      <c r="B27" s="2" t="s">
        <v>64</v>
      </c>
      <c r="C27" s="2" t="s">
        <v>92</v>
      </c>
      <c r="D27" s="2" t="s">
        <v>122</v>
      </c>
      <c r="E27" s="2"/>
      <c r="F27" s="2" t="s">
        <v>128</v>
      </c>
      <c r="G27" s="2" t="s">
        <v>135</v>
      </c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 t="s">
        <v>14</v>
      </c>
      <c r="B28" s="2" t="s">
        <v>64</v>
      </c>
      <c r="C28" s="2" t="s">
        <v>93</v>
      </c>
      <c r="D28" s="2" t="s">
        <v>122</v>
      </c>
      <c r="E28" s="2"/>
      <c r="F28" s="2" t="s">
        <v>128</v>
      </c>
      <c r="G28" s="2" t="s">
        <v>135</v>
      </c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 t="s">
        <v>56</v>
      </c>
      <c r="B29" s="2" t="s">
        <v>65</v>
      </c>
      <c r="C29" s="2" t="s">
        <v>94</v>
      </c>
      <c r="D29" s="2" t="s">
        <v>122</v>
      </c>
      <c r="E29" s="2"/>
      <c r="F29" s="2" t="s">
        <v>18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 t="s">
        <v>57</v>
      </c>
      <c r="B30" s="2" t="s">
        <v>66</v>
      </c>
      <c r="C30" s="2" t="s">
        <v>95</v>
      </c>
      <c r="D30" s="2" t="s">
        <v>122</v>
      </c>
      <c r="E30" s="2" t="s">
        <v>11</v>
      </c>
      <c r="F30" s="2" t="s">
        <v>126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 t="s">
        <v>57</v>
      </c>
      <c r="B31" s="2" t="s">
        <v>66</v>
      </c>
      <c r="C31" s="2" t="s">
        <v>96</v>
      </c>
      <c r="D31" s="2" t="s">
        <v>124</v>
      </c>
      <c r="E31" s="2" t="s">
        <v>11</v>
      </c>
      <c r="F31" s="2" t="s">
        <v>126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 t="s">
        <v>57</v>
      </c>
      <c r="B32" s="2" t="s">
        <v>66</v>
      </c>
      <c r="C32" s="2" t="s">
        <v>97</v>
      </c>
      <c r="D32" s="2" t="s">
        <v>122</v>
      </c>
      <c r="E32" s="2" t="s">
        <v>11</v>
      </c>
      <c r="F32" s="2" t="s">
        <v>126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 t="s">
        <v>57</v>
      </c>
      <c r="B33" s="2" t="s">
        <v>10</v>
      </c>
      <c r="C33" s="2" t="s">
        <v>98</v>
      </c>
      <c r="D33" s="2" t="s">
        <v>122</v>
      </c>
      <c r="E33" s="2" t="s">
        <v>11</v>
      </c>
      <c r="F33" s="2" t="s">
        <v>126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 t="s">
        <v>57</v>
      </c>
      <c r="B34" s="2" t="s">
        <v>10</v>
      </c>
      <c r="C34" s="2" t="s">
        <v>99</v>
      </c>
      <c r="D34" s="2" t="s">
        <v>122</v>
      </c>
      <c r="E34" s="2" t="s">
        <v>11</v>
      </c>
      <c r="F34" s="2" t="s">
        <v>126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 t="s">
        <v>57</v>
      </c>
      <c r="B35" s="2" t="s">
        <v>10</v>
      </c>
      <c r="C35" s="2" t="s">
        <v>100</v>
      </c>
      <c r="D35" s="2" t="s">
        <v>124</v>
      </c>
      <c r="E35" s="2" t="s">
        <v>11</v>
      </c>
      <c r="F35" s="2" t="s">
        <v>126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 t="s">
        <v>57</v>
      </c>
      <c r="B36" s="2" t="s">
        <v>10</v>
      </c>
      <c r="C36" s="2" t="s">
        <v>101</v>
      </c>
      <c r="D36" s="2" t="s">
        <v>124</v>
      </c>
      <c r="E36" s="2" t="s">
        <v>11</v>
      </c>
      <c r="F36" s="2" t="s">
        <v>126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 t="s">
        <v>57</v>
      </c>
      <c r="B37" s="2" t="s">
        <v>103</v>
      </c>
      <c r="C37" s="2" t="s">
        <v>102</v>
      </c>
      <c r="D37" s="2" t="s">
        <v>122</v>
      </c>
      <c r="E37" s="2" t="s">
        <v>11</v>
      </c>
      <c r="F37" s="2" t="s">
        <v>126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 t="s">
        <v>58</v>
      </c>
      <c r="B38" s="2" t="s">
        <v>67</v>
      </c>
      <c r="C38" s="2" t="s">
        <v>104</v>
      </c>
      <c r="D38" s="2" t="s">
        <v>122</v>
      </c>
      <c r="E38" s="2"/>
      <c r="F38" s="2" t="s">
        <v>129</v>
      </c>
      <c r="G38" s="3">
        <v>46118</v>
      </c>
      <c r="H38" s="3">
        <v>46119</v>
      </c>
      <c r="I38" s="2"/>
      <c r="J38" s="2"/>
      <c r="K38" s="2"/>
      <c r="L38" s="2"/>
      <c r="M38" s="2"/>
      <c r="N38" s="2"/>
      <c r="O38" s="2"/>
    </row>
    <row r="39" spans="1:15" x14ac:dyDescent="0.2">
      <c r="A39" s="2" t="s">
        <v>58</v>
      </c>
      <c r="B39" s="2" t="s">
        <v>67</v>
      </c>
      <c r="C39" s="2" t="s">
        <v>105</v>
      </c>
      <c r="D39" s="2" t="s">
        <v>122</v>
      </c>
      <c r="E39" s="2"/>
      <c r="F39" s="2" t="s">
        <v>129</v>
      </c>
      <c r="G39" s="3">
        <v>46118</v>
      </c>
      <c r="H39" s="3">
        <v>46122</v>
      </c>
      <c r="I39" s="2"/>
      <c r="J39" s="2"/>
      <c r="K39" s="2"/>
      <c r="L39" s="2"/>
      <c r="M39" s="2"/>
      <c r="N39" s="2"/>
      <c r="O39" s="2"/>
    </row>
    <row r="40" spans="1:15" x14ac:dyDescent="0.2">
      <c r="A40" s="2" t="s">
        <v>58</v>
      </c>
      <c r="B40" s="2" t="s">
        <v>67</v>
      </c>
      <c r="C40" s="2" t="s">
        <v>106</v>
      </c>
      <c r="D40" s="2" t="s">
        <v>122</v>
      </c>
      <c r="E40" s="2"/>
      <c r="F40" s="2" t="s">
        <v>18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 t="s">
        <v>58</v>
      </c>
      <c r="B41" s="2" t="s">
        <v>67</v>
      </c>
      <c r="C41" s="2" t="s">
        <v>107</v>
      </c>
      <c r="D41" s="2" t="s">
        <v>123</v>
      </c>
      <c r="E41" s="2"/>
      <c r="F41" s="2" t="s">
        <v>130</v>
      </c>
      <c r="G41" s="3">
        <v>46119</v>
      </c>
      <c r="H41" s="3">
        <v>46120</v>
      </c>
      <c r="I41" s="2"/>
      <c r="J41" s="2"/>
      <c r="K41" s="2"/>
      <c r="L41" s="2"/>
      <c r="M41" s="2"/>
      <c r="N41" s="2"/>
      <c r="O41" s="2"/>
    </row>
    <row r="42" spans="1:15" x14ac:dyDescent="0.2">
      <c r="A42" s="2" t="s">
        <v>58</v>
      </c>
      <c r="B42" s="2" t="s">
        <v>67</v>
      </c>
      <c r="C42" s="2" t="s">
        <v>108</v>
      </c>
      <c r="D42" s="2" t="s">
        <v>122</v>
      </c>
      <c r="E42" s="2"/>
      <c r="F42" s="2" t="s">
        <v>131</v>
      </c>
      <c r="G42" s="3">
        <v>46119</v>
      </c>
      <c r="H42" s="3">
        <v>46122</v>
      </c>
      <c r="I42" s="2"/>
      <c r="J42" s="2"/>
      <c r="K42" s="2"/>
      <c r="L42" s="2"/>
      <c r="M42" s="2"/>
      <c r="N42" s="2"/>
      <c r="O42" s="2"/>
    </row>
    <row r="43" spans="1:15" x14ac:dyDescent="0.2">
      <c r="A43" s="2" t="s">
        <v>58</v>
      </c>
      <c r="B43" s="2" t="s">
        <v>67</v>
      </c>
      <c r="C43" s="2" t="s">
        <v>109</v>
      </c>
      <c r="D43" s="2" t="s">
        <v>122</v>
      </c>
      <c r="E43" s="2"/>
      <c r="F43" s="2" t="s">
        <v>131</v>
      </c>
      <c r="G43" s="3">
        <v>46125</v>
      </c>
      <c r="H43" s="3">
        <v>46129</v>
      </c>
      <c r="I43" s="2"/>
      <c r="J43" s="2"/>
      <c r="K43" s="2"/>
      <c r="L43" s="2"/>
      <c r="M43" s="2"/>
      <c r="N43" s="2"/>
      <c r="O43" s="2"/>
    </row>
    <row r="44" spans="1:15" x14ac:dyDescent="0.2">
      <c r="A44" s="2" t="s">
        <v>58</v>
      </c>
      <c r="B44" s="2" t="s">
        <v>67</v>
      </c>
      <c r="C44" s="2" t="s">
        <v>110</v>
      </c>
      <c r="D44" s="2" t="s">
        <v>122</v>
      </c>
      <c r="E44" s="2"/>
      <c r="F44" s="2" t="s">
        <v>132</v>
      </c>
      <c r="G44" s="3">
        <v>46120</v>
      </c>
      <c r="H44" s="3">
        <v>46122</v>
      </c>
      <c r="I44" s="2"/>
      <c r="J44" s="2"/>
      <c r="K44" s="2"/>
      <c r="L44" s="2"/>
      <c r="M44" s="2"/>
      <c r="N44" s="2"/>
      <c r="O44" s="2"/>
    </row>
    <row r="45" spans="1:15" x14ac:dyDescent="0.2">
      <c r="A45" s="2" t="s">
        <v>58</v>
      </c>
      <c r="B45" s="2" t="s">
        <v>67</v>
      </c>
      <c r="C45" s="2" t="s">
        <v>111</v>
      </c>
      <c r="D45" s="2" t="s">
        <v>123</v>
      </c>
      <c r="E45" s="2"/>
      <c r="F45" s="2" t="s">
        <v>126</v>
      </c>
      <c r="G45" s="3">
        <v>46118</v>
      </c>
      <c r="H45" s="3">
        <v>46122</v>
      </c>
      <c r="I45" s="2"/>
      <c r="J45" s="2"/>
      <c r="K45" s="2"/>
      <c r="L45" s="2"/>
      <c r="M45" s="2"/>
      <c r="N45" s="2"/>
      <c r="O45" s="2"/>
    </row>
    <row r="46" spans="1:15" x14ac:dyDescent="0.2">
      <c r="A46" s="2" t="s">
        <v>58</v>
      </c>
      <c r="B46" s="2" t="s">
        <v>67</v>
      </c>
      <c r="C46" s="2" t="s">
        <v>112</v>
      </c>
      <c r="D46" s="2" t="s">
        <v>123</v>
      </c>
      <c r="E46" s="2"/>
      <c r="F46" s="2" t="s">
        <v>126</v>
      </c>
      <c r="G46" s="2" t="s">
        <v>135</v>
      </c>
      <c r="H46" s="2" t="s">
        <v>135</v>
      </c>
      <c r="I46" s="2"/>
      <c r="J46" s="2"/>
      <c r="K46" s="2"/>
      <c r="L46" s="2"/>
      <c r="M46" s="2"/>
      <c r="N46" s="2"/>
      <c r="O46" s="2"/>
    </row>
    <row r="47" spans="1:15" x14ac:dyDescent="0.2">
      <c r="A47" s="2" t="s">
        <v>58</v>
      </c>
      <c r="B47" s="2" t="s">
        <v>67</v>
      </c>
      <c r="C47" s="2" t="s">
        <v>113</v>
      </c>
      <c r="D47" s="2" t="s">
        <v>123</v>
      </c>
      <c r="E47" s="2"/>
      <c r="F47" s="2" t="s">
        <v>126</v>
      </c>
      <c r="G47" s="3">
        <v>46119</v>
      </c>
      <c r="H47" s="3">
        <v>46122</v>
      </c>
      <c r="I47" s="2"/>
      <c r="J47" s="2"/>
      <c r="K47" s="2"/>
      <c r="L47" s="2"/>
      <c r="M47" s="2"/>
      <c r="N47" s="2"/>
      <c r="O47" s="2"/>
    </row>
    <row r="48" spans="1:15" x14ac:dyDescent="0.2">
      <c r="A48" s="2" t="s">
        <v>58</v>
      </c>
      <c r="B48" s="2" t="s">
        <v>67</v>
      </c>
      <c r="C48" s="2" t="s">
        <v>114</v>
      </c>
      <c r="D48" s="2" t="s">
        <v>123</v>
      </c>
      <c r="E48" s="2"/>
      <c r="F48" s="2" t="s">
        <v>126</v>
      </c>
      <c r="G48" s="3">
        <v>46119</v>
      </c>
      <c r="H48" s="3">
        <v>46122</v>
      </c>
      <c r="I48" s="2"/>
      <c r="J48" s="2"/>
      <c r="K48" s="2"/>
      <c r="L48" s="2"/>
      <c r="M48" s="2"/>
      <c r="N48" s="2"/>
      <c r="O48" s="2"/>
    </row>
    <row r="49" spans="1:15" x14ac:dyDescent="0.2">
      <c r="A49" s="2" t="s">
        <v>58</v>
      </c>
      <c r="B49" s="2" t="s">
        <v>67</v>
      </c>
      <c r="C49" s="2" t="s">
        <v>115</v>
      </c>
      <c r="D49" s="2" t="s">
        <v>123</v>
      </c>
      <c r="E49" s="2"/>
      <c r="F49" s="2" t="s">
        <v>126</v>
      </c>
      <c r="G49" s="3">
        <v>46119</v>
      </c>
      <c r="H49" s="3">
        <v>46122</v>
      </c>
      <c r="I49" s="2"/>
      <c r="J49" s="2"/>
      <c r="K49" s="2"/>
      <c r="L49" s="2"/>
      <c r="M49" s="2"/>
      <c r="N49" s="2"/>
      <c r="O49" s="2"/>
    </row>
    <row r="50" spans="1:15" x14ac:dyDescent="0.2">
      <c r="A50" s="2" t="s">
        <v>58</v>
      </c>
      <c r="B50" s="2" t="s">
        <v>67</v>
      </c>
      <c r="C50" s="2" t="s">
        <v>116</v>
      </c>
      <c r="D50" s="2" t="s">
        <v>123</v>
      </c>
      <c r="E50" s="2"/>
      <c r="F50" s="2" t="s">
        <v>126</v>
      </c>
      <c r="G50" s="3">
        <v>46119</v>
      </c>
      <c r="H50" s="3">
        <v>46122</v>
      </c>
      <c r="I50" s="2"/>
      <c r="J50" s="2"/>
      <c r="K50" s="2"/>
      <c r="L50" s="2"/>
      <c r="M50" s="2"/>
      <c r="N50" s="2"/>
      <c r="O50" s="2"/>
    </row>
    <row r="51" spans="1:15" x14ac:dyDescent="0.2">
      <c r="A51" s="2" t="s">
        <v>58</v>
      </c>
      <c r="B51" s="2" t="s">
        <v>67</v>
      </c>
      <c r="C51" s="2" t="s">
        <v>117</v>
      </c>
      <c r="D51" s="2" t="s">
        <v>122</v>
      </c>
      <c r="E51" s="2"/>
      <c r="F51" s="2" t="s">
        <v>129</v>
      </c>
      <c r="G51" s="2" t="s">
        <v>135</v>
      </c>
      <c r="H51" s="2" t="s">
        <v>135</v>
      </c>
      <c r="I51" s="2"/>
      <c r="J51" s="2"/>
      <c r="K51" s="2"/>
      <c r="L51" s="2"/>
      <c r="M51" s="2"/>
      <c r="N51" s="2"/>
      <c r="O51" s="2"/>
    </row>
    <row r="52" spans="1:15" x14ac:dyDescent="0.2">
      <c r="A52" s="2" t="s">
        <v>59</v>
      </c>
      <c r="B52" s="2" t="s">
        <v>67</v>
      </c>
      <c r="C52" s="2"/>
      <c r="D52" s="2" t="s">
        <v>122</v>
      </c>
      <c r="E52" s="2"/>
      <c r="F52" s="2" t="s">
        <v>132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 t="s">
        <v>60</v>
      </c>
      <c r="B53" s="2" t="s">
        <v>67</v>
      </c>
      <c r="C53" s="2"/>
      <c r="D53" s="2" t="s">
        <v>122</v>
      </c>
      <c r="E53" s="2"/>
      <c r="F53" s="2" t="s">
        <v>132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 t="s">
        <v>61</v>
      </c>
      <c r="B54" s="2" t="s">
        <v>66</v>
      </c>
      <c r="C54" s="2" t="s">
        <v>118</v>
      </c>
      <c r="D54" s="2" t="s">
        <v>122</v>
      </c>
      <c r="E54" s="2"/>
      <c r="F54" s="2" t="s">
        <v>133</v>
      </c>
      <c r="G54" s="3">
        <v>46118</v>
      </c>
      <c r="H54" s="3">
        <v>46122</v>
      </c>
      <c r="I54" s="2"/>
      <c r="J54" s="2"/>
      <c r="K54" s="2"/>
      <c r="L54" s="2"/>
      <c r="M54" s="2"/>
      <c r="N54" s="2"/>
      <c r="O54" s="2"/>
    </row>
    <row r="55" spans="1:15" x14ac:dyDescent="0.2">
      <c r="A55" s="2" t="s">
        <v>61</v>
      </c>
      <c r="B55" s="2" t="s">
        <v>66</v>
      </c>
      <c r="C55" s="2" t="s">
        <v>119</v>
      </c>
      <c r="D55" s="2" t="s">
        <v>122</v>
      </c>
      <c r="E55" s="2"/>
      <c r="F55" s="2" t="s">
        <v>133</v>
      </c>
      <c r="G55" s="3">
        <v>46118</v>
      </c>
      <c r="H55" s="3">
        <v>46122</v>
      </c>
      <c r="I55" s="2"/>
      <c r="J55" s="2"/>
      <c r="K55" s="2"/>
      <c r="L55" s="2"/>
      <c r="M55" s="2"/>
      <c r="N55" s="2"/>
      <c r="O55" s="2"/>
    </row>
    <row r="56" spans="1:15" x14ac:dyDescent="0.2">
      <c r="A56" s="2" t="s">
        <v>61</v>
      </c>
      <c r="B56" s="2" t="s">
        <v>66</v>
      </c>
      <c r="C56" s="2" t="s">
        <v>120</v>
      </c>
      <c r="D56" s="2" t="s">
        <v>122</v>
      </c>
      <c r="E56" s="2"/>
      <c r="F56" s="2" t="s">
        <v>132</v>
      </c>
      <c r="G56" s="3">
        <v>46118</v>
      </c>
      <c r="H56" s="3">
        <v>46122</v>
      </c>
      <c r="I56" s="2"/>
      <c r="J56" s="2"/>
      <c r="K56" s="2"/>
      <c r="L56" s="2"/>
      <c r="M56" s="2"/>
      <c r="N56" s="2"/>
      <c r="O56" s="2"/>
    </row>
    <row r="57" spans="1:15" x14ac:dyDescent="0.2">
      <c r="A57" s="2" t="s">
        <v>61</v>
      </c>
      <c r="B57" s="2" t="s">
        <v>66</v>
      </c>
      <c r="C57" s="2" t="s">
        <v>121</v>
      </c>
      <c r="D57" s="2" t="s">
        <v>122</v>
      </c>
      <c r="E57" s="2"/>
      <c r="F57" s="2" t="s">
        <v>132</v>
      </c>
      <c r="G57" s="3">
        <v>46118</v>
      </c>
      <c r="H57" s="3">
        <v>46122</v>
      </c>
      <c r="I57" s="2"/>
      <c r="J57" s="2"/>
      <c r="K57" s="2"/>
      <c r="L57" s="2"/>
      <c r="M57" s="2"/>
      <c r="N57" s="2"/>
      <c r="O57" s="2"/>
    </row>
  </sheetData>
  <conditionalFormatting sqref="J2:J1044">
    <cfRule type="expression" dxfId="3" priority="1">
      <formula>J2="Red"</formula>
    </cfRule>
    <cfRule type="expression" dxfId="2" priority="2">
      <formula>J2="Amber"</formula>
    </cfRule>
    <cfRule type="expression" dxfId="1" priority="3">
      <formula>J2="Green"</formula>
    </cfRule>
  </conditionalFormatting>
  <dataValidations count="2">
    <dataValidation type="list" allowBlank="1" sqref="J2:J544" xr:uid="{00000000-0002-0000-0000-000000000000}">
      <formula1>"Green,Amber,Red"</formula1>
    </dataValidation>
    <dataValidation type="list" allowBlank="1" sqref="I2:I544" xr:uid="{00000000-0002-0000-0000-000001000000}">
      <formula1>"Planned,In Progress,Blocked,Completed"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G2" sqref="G2"/>
    </sheetView>
  </sheetViews>
  <sheetFormatPr baseColWidth="10" defaultColWidth="8.83203125" defaultRowHeight="15" x14ac:dyDescent="0.2"/>
  <cols>
    <col min="2" max="2" width="20" bestFit="1" customWidth="1"/>
    <col min="3" max="3" width="11" bestFit="1" customWidth="1"/>
    <col min="4" max="4" width="7.6640625" bestFit="1" customWidth="1"/>
    <col min="5" max="5" width="6.5" bestFit="1" customWidth="1"/>
    <col min="6" max="6" width="13.33203125" bestFit="1" customWidth="1"/>
    <col min="7" max="7" width="10.6640625" bestFit="1" customWidth="1"/>
    <col min="10" max="10" width="9.6640625" bestFit="1" customWidth="1"/>
  </cols>
  <sheetData>
    <row r="1" spans="1:11" x14ac:dyDescent="0.2">
      <c r="A1" s="4" t="s">
        <v>20</v>
      </c>
      <c r="B1" s="4" t="s">
        <v>21</v>
      </c>
      <c r="C1" s="4" t="s">
        <v>22</v>
      </c>
      <c r="D1" s="4" t="s">
        <v>23</v>
      </c>
      <c r="E1" s="4" t="s">
        <v>2</v>
      </c>
      <c r="F1" s="4" t="s">
        <v>24</v>
      </c>
      <c r="G1" s="4" t="s">
        <v>25</v>
      </c>
      <c r="H1" s="4" t="s">
        <v>5</v>
      </c>
      <c r="I1" s="4" t="s">
        <v>26</v>
      </c>
      <c r="J1" s="4" t="s">
        <v>27</v>
      </c>
      <c r="K1" s="4" t="s">
        <v>28</v>
      </c>
    </row>
    <row r="2" spans="1:11" x14ac:dyDescent="0.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</sheetData>
  <dataValidations count="2">
    <dataValidation type="list" allowBlank="1" sqref="H2:H500" xr:uid="{00000000-0002-0000-0100-000000000000}">
      <formula1>"Open,In Progress,Resolved"</formula1>
    </dataValidation>
    <dataValidation type="list" allowBlank="1" sqref="I2:I500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F17" sqref="F17"/>
    </sheetView>
  </sheetViews>
  <sheetFormatPr baseColWidth="10" defaultColWidth="8.83203125" defaultRowHeight="15" x14ac:dyDescent="0.2"/>
  <cols>
    <col min="2" max="2" width="24.1640625" bestFit="1" customWidth="1"/>
    <col min="3" max="3" width="10.83203125" bestFit="1" customWidth="1"/>
    <col min="4" max="4" width="8.6640625" bestFit="1" customWidth="1"/>
    <col min="5" max="5" width="7.1640625" bestFit="1" customWidth="1"/>
    <col min="6" max="6" width="10.33203125" bestFit="1" customWidth="1"/>
    <col min="7" max="7" width="6.1640625" bestFit="1" customWidth="1"/>
    <col min="8" max="8" width="13.83203125" bestFit="1" customWidth="1"/>
  </cols>
  <sheetData>
    <row r="1" spans="1:9" x14ac:dyDescent="0.2">
      <c r="A1" s="4" t="s">
        <v>30</v>
      </c>
      <c r="B1" s="4" t="s">
        <v>31</v>
      </c>
      <c r="C1" s="4" t="s">
        <v>32</v>
      </c>
      <c r="D1" s="4" t="s">
        <v>2</v>
      </c>
      <c r="E1" s="4" t="s">
        <v>33</v>
      </c>
      <c r="F1" s="4" t="s">
        <v>34</v>
      </c>
      <c r="G1" s="4" t="s">
        <v>5</v>
      </c>
      <c r="H1" s="4" t="s">
        <v>35</v>
      </c>
      <c r="I1" s="4" t="s">
        <v>36</v>
      </c>
    </row>
    <row r="2" spans="1:9" x14ac:dyDescent="0.2">
      <c r="A2" s="2" t="s">
        <v>37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</sheetData>
  <conditionalFormatting sqref="F2:F500">
    <cfRule type="expression" dxfId="0" priority="1">
      <formula>AND(F2&lt;TODAY(),G2&lt;&gt;"Closed")</formula>
    </cfRule>
  </conditionalFormatting>
  <dataValidations count="2">
    <dataValidation type="list" allowBlank="1" sqref="G2:G500" xr:uid="{00000000-0002-0000-0200-000000000000}">
      <formula1>"Open,In Progress,Blocked,Closed"</formula1>
    </dataValidation>
    <dataValidation type="list" allowBlank="1" sqref="E2:E500" xr:uid="{00000000-0002-0000-0200-000001000000}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G48" sqref="G48"/>
    </sheetView>
  </sheetViews>
  <sheetFormatPr baseColWidth="10" defaultColWidth="8.83203125" defaultRowHeight="15" x14ac:dyDescent="0.2"/>
  <cols>
    <col min="1" max="1" width="10.6640625" bestFit="1" customWidth="1"/>
    <col min="2" max="2" width="16.83203125" bestFit="1" customWidth="1"/>
    <col min="3" max="3" width="12.33203125" bestFit="1" customWidth="1"/>
    <col min="4" max="4" width="9.1640625" bestFit="1" customWidth="1"/>
    <col min="5" max="5" width="11.33203125" bestFit="1" customWidth="1"/>
    <col min="6" max="6" width="14.1640625" bestFit="1" customWidth="1"/>
    <col min="7" max="8" width="10.33203125" bestFit="1" customWidth="1"/>
    <col min="9" max="10" width="12.5" bestFit="1" customWidth="1"/>
  </cols>
  <sheetData>
    <row r="1" spans="1:10" x14ac:dyDescent="0.2">
      <c r="A1" s="4" t="s">
        <v>0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3</v>
      </c>
      <c r="H1" s="4" t="s">
        <v>4</v>
      </c>
      <c r="I1" s="4" t="s">
        <v>43</v>
      </c>
      <c r="J1" s="4" t="s">
        <v>44</v>
      </c>
    </row>
    <row r="2" spans="1:10" x14ac:dyDescent="0.2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N44" sqref="N44"/>
    </sheetView>
  </sheetViews>
  <sheetFormatPr baseColWidth="10" defaultColWidth="8.83203125" defaultRowHeight="15" x14ac:dyDescent="0.2"/>
  <cols>
    <col min="1" max="1" width="13.6640625" bestFit="1" customWidth="1"/>
    <col min="2" max="2" width="5.83203125" bestFit="1" customWidth="1"/>
  </cols>
  <sheetData>
    <row r="1" spans="1:2" x14ac:dyDescent="0.2">
      <c r="A1" s="1" t="s">
        <v>45</v>
      </c>
      <c r="B1" s="1" t="s">
        <v>46</v>
      </c>
    </row>
    <row r="2" spans="1:2" x14ac:dyDescent="0.2">
      <c r="A2" t="s">
        <v>47</v>
      </c>
      <c r="B2">
        <f>COUNTA('01_Transformation_Plan'!A2:A1044)</f>
        <v>56</v>
      </c>
    </row>
    <row r="3" spans="1:2" x14ac:dyDescent="0.2">
      <c r="A3" t="s">
        <v>16</v>
      </c>
      <c r="B3">
        <f>COUNTIF('01_Transformation_Plan'!J:J,"Green")</f>
        <v>1</v>
      </c>
    </row>
    <row r="4" spans="1:2" x14ac:dyDescent="0.2">
      <c r="A4" t="s">
        <v>12</v>
      </c>
      <c r="B4">
        <f>COUNTIF('01_Transformation_Plan'!J:J,"Amber")</f>
        <v>0</v>
      </c>
    </row>
    <row r="5" spans="1:2" x14ac:dyDescent="0.2">
      <c r="A5" t="s">
        <v>19</v>
      </c>
      <c r="B5">
        <f>COUNTIF('01_Transformation_Plan'!J:J,"Red")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N46" sqref="N46"/>
    </sheetView>
  </sheetViews>
  <sheetFormatPr baseColWidth="10" defaultColWidth="8.83203125" defaultRowHeight="15" x14ac:dyDescent="0.2"/>
  <cols>
    <col min="1" max="1" width="18.5" bestFit="1" customWidth="1"/>
  </cols>
  <sheetData>
    <row r="1" spans="1:5" x14ac:dyDescent="0.2">
      <c r="A1" s="1" t="s">
        <v>48</v>
      </c>
    </row>
    <row r="2" spans="1:5" x14ac:dyDescent="0.2">
      <c r="A2" s="1" t="s">
        <v>0</v>
      </c>
      <c r="B2" s="1" t="s">
        <v>16</v>
      </c>
      <c r="C2" s="1" t="s">
        <v>12</v>
      </c>
      <c r="D2" s="1" t="s">
        <v>19</v>
      </c>
      <c r="E2" s="1" t="s">
        <v>49</v>
      </c>
    </row>
    <row r="3" spans="1:5" x14ac:dyDescent="0.2">
      <c r="A3" t="s">
        <v>10</v>
      </c>
      <c r="B3">
        <f>COUNTIFS('01_Transformation_Plan'!A:A,A3,'01_Transformation_Plan'!J:J,"Green")</f>
        <v>0</v>
      </c>
      <c r="C3">
        <f>COUNTIFS('01_Transformation_Plan'!A:A,A3,'01_Transformation_Plan'!J:J,"Amber")</f>
        <v>0</v>
      </c>
      <c r="D3">
        <f>COUNTIFS('01_Transformation_Plan'!A:A,A3,'01_Transformation_Plan'!J:J,"Red")</f>
        <v>0</v>
      </c>
      <c r="E3">
        <f>SUM(B3:D3)</f>
        <v>0</v>
      </c>
    </row>
    <row r="4" spans="1:5" x14ac:dyDescent="0.2">
      <c r="A4" t="s">
        <v>13</v>
      </c>
      <c r="B4">
        <f>COUNTIFS('01_Transformation_Plan'!A:A,A4,'01_Transformation_Plan'!J:J,"Green")</f>
        <v>0</v>
      </c>
      <c r="C4">
        <f>COUNTIFS('01_Transformation_Plan'!A:A,A4,'01_Transformation_Plan'!J:J,"Amber")</f>
        <v>0</v>
      </c>
      <c r="D4">
        <f>COUNTIFS('01_Transformation_Plan'!A:A,A4,'01_Transformation_Plan'!J:J,"Red")</f>
        <v>0</v>
      </c>
      <c r="E4">
        <f>SUM(B4:D4)</f>
        <v>0</v>
      </c>
    </row>
    <row r="5" spans="1:5" x14ac:dyDescent="0.2">
      <c r="A5" t="s">
        <v>17</v>
      </c>
      <c r="B5">
        <f>COUNTIFS('01_Transformation_Plan'!A:A,A5,'01_Transformation_Plan'!J:J,"Green")</f>
        <v>0</v>
      </c>
      <c r="C5">
        <f>COUNTIFS('01_Transformation_Plan'!A:A,A5,'01_Transformation_Plan'!J:J,"Amber")</f>
        <v>0</v>
      </c>
      <c r="D5">
        <f>COUNTIFS('01_Transformation_Plan'!A:A,A5,'01_Transformation_Plan'!J:J,"Red")</f>
        <v>0</v>
      </c>
      <c r="E5">
        <f>SUM(B5:D5)</f>
        <v>0</v>
      </c>
    </row>
    <row r="8" spans="1:5" x14ac:dyDescent="0.2">
      <c r="A8" s="1" t="s">
        <v>50</v>
      </c>
    </row>
    <row r="9" spans="1:5" x14ac:dyDescent="0.2">
      <c r="A9" t="s">
        <v>51</v>
      </c>
      <c r="B9">
        <f>COUNTA('06_KT_Master'!A2:A1000)</f>
        <v>1</v>
      </c>
    </row>
    <row r="10" spans="1:5" x14ac:dyDescent="0.2">
      <c r="A10" t="s">
        <v>52</v>
      </c>
      <c r="B10">
        <f>COUNTIF('06_KT_Master'!J:J,"In Progress")</f>
        <v>0</v>
      </c>
    </row>
    <row r="11" spans="1:5" x14ac:dyDescent="0.2">
      <c r="A11" t="s">
        <v>53</v>
      </c>
      <c r="B11">
        <f>COUNTIF('06_KT_Master'!J:J,"Completed")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656B-63CE-1541-8869-F390FC14C6E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01_Transformation_Plan</vt:lpstr>
      <vt:lpstr>02_Dependency_Tracker</vt:lpstr>
      <vt:lpstr>03_Action_Tracker</vt:lpstr>
      <vt:lpstr>06_KT_Master</vt:lpstr>
      <vt:lpstr>08_SteerCo_Dashboard</vt:lpstr>
      <vt:lpstr>09_Pivot_Summary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Retheesh Kumar</cp:lastModifiedBy>
  <dcterms:created xsi:type="dcterms:W3CDTF">2026-04-06T04:46:28Z</dcterms:created>
  <dcterms:modified xsi:type="dcterms:W3CDTF">2026-04-08T15:08:38Z</dcterms:modified>
</cp:coreProperties>
</file>